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mus\projects\smart-filter-selector\test\"/>
    </mc:Choice>
  </mc:AlternateContent>
  <xr:revisionPtr revIDLastSave="0" documentId="13_ncr:1_{695E5A91-EFB9-4639-92B8-DAD9D182F54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H47" i="1"/>
  <c r="F47" i="1"/>
</calcChain>
</file>

<file path=xl/sharedStrings.xml><?xml version="1.0" encoding="utf-8"?>
<sst xmlns="http://schemas.openxmlformats.org/spreadsheetml/2006/main" count="188" uniqueCount="164">
  <si>
    <t>Query</t>
  </si>
  <si>
    <t>Translated query</t>
  </si>
  <si>
    <t>Calculation Time (s)</t>
  </si>
  <si>
    <t>Detected filters</t>
  </si>
  <si>
    <t>Expected_filters</t>
  </si>
  <si>
    <t>Precision</t>
  </si>
  <si>
    <t>Recall</t>
  </si>
  <si>
    <t>F1</t>
  </si>
  <si>
    <t>I’m working on a project related to train signaling systems.</t>
  </si>
  <si>
    <t>ERTMS
Train detection
Signalling
CBTC
Interlocking (IXL)
Railway</t>
  </si>
  <si>
    <t>Railway
Signalling</t>
  </si>
  <si>
    <t>Je travaille sur un projet de gestion d’énergie nucléaire.</t>
  </si>
  <si>
    <t>I am working on a nuclear energy management project.</t>
  </si>
  <si>
    <t>Energy
monitoring &amp; control and instrumentation
Nucléaire
Renewable Energie</t>
  </si>
  <si>
    <t>Energy
Nucléaire</t>
  </si>
  <si>
    <t>Estoy desarrollando una aplicación para líneas de alta velocidad.</t>
  </si>
  <si>
    <t>I am developing an application for high speed lines.</t>
  </si>
  <si>
    <t>Main Lines
Catenary
Infrastructure
High Speed Lines
Level Crossings
High Voltage
Railway</t>
  </si>
  <si>
    <t>Railway
High Speed Lines</t>
  </si>
  <si>
    <t>We are designing an ERTMS signaling system for high-speed trains.</t>
  </si>
  <si>
    <t>ERTMS
Signalling
EN50129
CBTC
Interlocking (IXL)</t>
  </si>
  <si>
    <t>Railway
Signalling
ERTMS</t>
  </si>
  <si>
    <t>Le projet concerne un système CBTC pour métro automatique.</t>
  </si>
  <si>
    <t>The project concerns a CBTC system for automatic metro.</t>
  </si>
  <si>
    <t>Signalling
Metro
Railway
CBTC</t>
  </si>
  <si>
    <t>Railway
Signalling
CBTC
Metro</t>
  </si>
  <si>
    <t>Nuestro trabajo incluye el desarrollo del enclavamiento IXL.</t>
  </si>
  <si>
    <t>Our work includes the development of the IXL interlock.</t>
  </si>
  <si>
    <t>Signalling
Interlocking (IXL)
Level Crossings
Infrastructure</t>
  </si>
  <si>
    <t>Railway
Signalling
Interlocking (IXL)</t>
  </si>
  <si>
    <t>We use MATLAB and Simulink for modeling dynamic systems.</t>
  </si>
  <si>
    <t>MATLAB
SIMULINK
Vehicle Dynamics
Rolling Stock</t>
  </si>
  <si>
    <t>MATLAB
SIMULINK</t>
  </si>
  <si>
    <t>Le modèle est développé sous Scade et testé avec TestLink.</t>
  </si>
  <si>
    <t>The model is developed in Scade and tested with TestLink.</t>
  </si>
  <si>
    <t>Scade
TestLink</t>
  </si>
  <si>
    <t>SCADE
TestLink</t>
  </si>
  <si>
    <t>Usamos Primavera y Ps Next para la gestión de proyectos.</t>
  </si>
  <si>
    <t>We use Primavera and Ps Next for project management.</t>
  </si>
  <si>
    <t>Primavera
Ps Next</t>
  </si>
  <si>
    <t>Designing low voltage systems for railway stations.</t>
  </si>
  <si>
    <t>Building Management System (BMS) / Centralised Technical Management system (CTMS)
Railway
Radio / Wireless
Low Voltage</t>
  </si>
  <si>
    <t>Railway
Low Voltage</t>
  </si>
  <si>
    <t>Nous travaillons sur la caténaire pour le train électrique.</t>
  </si>
  <si>
    <t>We are working on the catenary for the electric train.</t>
  </si>
  <si>
    <t>Catenary
Electrical Systems
Traction Systems
High Voltage
Rolling Stock</t>
  </si>
  <si>
    <t>Railway
High Voltage
Catenary</t>
  </si>
  <si>
    <t>El proyecto trata de la protección eléctrica de redes de media tensión.</t>
  </si>
  <si>
    <t>The project deals with the electrical protection of medium voltage networks.</t>
  </si>
  <si>
    <t>Electrical Protection
Medium Voltage (MV)
Smart Grid
Transmission And Distribution</t>
  </si>
  <si>
    <t>Energy
Transmission And Distribution
Electrical Protection</t>
  </si>
  <si>
    <t>The software follows the V-model and EN50128 standard.</t>
  </si>
  <si>
    <t>EN50128</t>
  </si>
  <si>
    <t>Cycle en V
EN50128</t>
  </si>
  <si>
    <t>Le développement est conforme à la norme EN50129 et à la méthode B.</t>
  </si>
  <si>
    <t>The development complies with EN50129 and Method B.</t>
  </si>
  <si>
    <t>Méthode B</t>
  </si>
  <si>
    <t>EN50129
Méthode B</t>
  </si>
  <si>
    <t>Usamos Git y UML para la documentación del software.</t>
  </si>
  <si>
    <t>We use Git and UML for software documentation.</t>
  </si>
  <si>
    <t>UML
GIT</t>
  </si>
  <si>
    <t>GIT
UML</t>
  </si>
  <si>
    <t>Performing FMECA and Monte Carlo simulations for risk analysis.</t>
  </si>
  <si>
    <t>Monte carlo
FMEA - FMECA</t>
  </si>
  <si>
    <t>FMEA - FMECA
Monte carlo</t>
  </si>
  <si>
    <t>L’analyse de sécurité est faite selon la norme IEC 61508 et EN50126.</t>
  </si>
  <si>
    <t>The safety analysis is carried out according to the IEC 61508 and EN50126 standard.</t>
  </si>
  <si>
    <t>IEC 61508
EN50126</t>
  </si>
  <si>
    <t>Estamos usando Scade y Prover para validar sistemas críticos.</t>
  </si>
  <si>
    <t>We are using Scade and Prover to validate critical systems.</t>
  </si>
  <si>
    <t>SCADE
Prover</t>
  </si>
  <si>
    <t>We’re designing the civil engineering layout for railway infrastructure.</t>
  </si>
  <si>
    <t>Infrastructure
Fixed Installations / Civil Engineering</t>
  </si>
  <si>
    <t>L’étude porte sur les passages à niveau et la géotechnique ferroviaire.</t>
  </si>
  <si>
    <t>The study focuses on level crossings and railway geotechnics.</t>
  </si>
  <si>
    <t>Fixed Installations / Civil Engineering
Level Crossings
Geotechnology
Infrastructure</t>
  </si>
  <si>
    <t>Infrastructure
Level Crossings
Geotechnology</t>
  </si>
  <si>
    <t>Incluye el diseño hidráulico de las obras ferroviarias.</t>
  </si>
  <si>
    <t>Includes the hydraulic design of railway works.</t>
  </si>
  <si>
    <t>Railroad
Railway
Hydraulics
Infrastructure</t>
  </si>
  <si>
    <t>Infrastructure
Hydraulics</t>
  </si>
  <si>
    <t>We analyze rotating machines and piping systems in a power plant.</t>
  </si>
  <si>
    <t>Energy
Equipment and facilities
Rotating Machines
Fluid Mechanics
Piping</t>
  </si>
  <si>
    <t>Energy
Equipment and facilities
Rotating Machines
Piping</t>
  </si>
  <si>
    <t>Étude sur la dissipation thermique et la dynamique des fluides.</t>
  </si>
  <si>
    <t>Study on heat dissipation and fluid dynamics.</t>
  </si>
  <si>
    <t>Electromagnetism
Fluid Mechanics
Fluid Dynamics
Thermal Dissipation</t>
  </si>
  <si>
    <t>Energy
Fluid Mechanics
Thermal Dissipation
Fluid Dynamics</t>
  </si>
  <si>
    <t>Proyecto relacionado con la mecánica de fluidos y electromagnetismo.</t>
  </si>
  <si>
    <t>Project related to fluid mechanics and electromagnetism.</t>
  </si>
  <si>
    <t>Thermal Dissipation
Electromagnetism
Fluid Mechanics
Fluid Dynamics</t>
  </si>
  <si>
    <t>Energy
Fluid Mechanics
Electromagnetism</t>
  </si>
  <si>
    <t>Installing Ethernet and radio communication for railway systems.</t>
  </si>
  <si>
    <t>Low Voltage
EN50128
Radio / Wireless
Ethernet 802.3</t>
  </si>
  <si>
    <t>Low Voltage
Radio / Wireless
Wired Transmissions</t>
  </si>
  <si>
    <t>Mise en place d’un système d’interphonie et de sonorisation dans les stations.</t>
  </si>
  <si>
    <t>Installation of an intercom and sound system in the stations.</t>
  </si>
  <si>
    <t>Sonorisation
Interphonie
Radio / Wireless
Low Voltage</t>
  </si>
  <si>
    <t>Interphonie
Sonorisation</t>
  </si>
  <si>
    <t>Configuramos routers y conmutadores Ethernet industriales.</t>
  </si>
  <si>
    <t>Routeurs et IAD
Commutateurs Ethernet</t>
  </si>
  <si>
    <t>Following LOI MOP and BIM standards for the construction project.</t>
  </si>
  <si>
    <t>BIM
LOI MOP</t>
  </si>
  <si>
    <t>LOI MOP
BIM</t>
  </si>
  <si>
    <t>Le projet est géré sous Ps Next et conforme à la norme Cenelec.</t>
  </si>
  <si>
    <t>The project is managed under Ps Next and complies with the Cenelec standard.</t>
  </si>
  <si>
    <t>Cenelec
Ps Next</t>
  </si>
  <si>
    <t>Ps Next
Cenelec</t>
  </si>
  <si>
    <t>Usamos Capella y SysML para modelar la arquitectura del sistema.</t>
  </si>
  <si>
    <t>We use Capella and SysML to model the system architecture.</t>
  </si>
  <si>
    <t>SYSml
capella</t>
  </si>
  <si>
    <t>Capella
SYSml</t>
  </si>
  <si>
    <t>We are developing a SCADA system for industrial automation.</t>
  </si>
  <si>
    <t>Automation
SCADA</t>
  </si>
  <si>
    <t>Nous concevons un système de cybersécurité pour les réseaux ferroviaires.</t>
  </si>
  <si>
    <t>We are designing a cybersecurity system for railway networks.</t>
  </si>
  <si>
    <t>Cybersecurity
Railway
Network</t>
  </si>
  <si>
    <t>Estamos implementando sensores IoT para monitorizar la energía solar.</t>
  </si>
  <si>
    <t>We are implementing IoT sensors to monitor solar energy.</t>
  </si>
  <si>
    <t>Instrumentation
Energy
Renewable Energie
monitoring &amp; control and instrumentation
Low Voltage</t>
  </si>
  <si>
    <t>Energy
Renewable Energie
IoT</t>
  </si>
  <si>
    <t>Stiamo progettando sistemi di segnalamento ferroviario automatici.</t>
  </si>
  <si>
    <t>We are designing automatic railway signaling systems.</t>
  </si>
  <si>
    <t>Railway
Signalling
Automation</t>
  </si>
  <si>
    <t>Designing high voltage substations for energy distribution.</t>
  </si>
  <si>
    <t>Transmission And Distribution
Electrical power line
Low Voltage (LV) &amp; High Voltage (HV) Distribution
High Voltage
Railway</t>
  </si>
  <si>
    <t>Energy
High Voltage
Transmission And Distribution</t>
  </si>
  <si>
    <t>Le projet inclut la modélisation sous Simulink et MATLAB.</t>
  </si>
  <si>
    <t>The project includes modeling using Simulink and MATLAB.</t>
  </si>
  <si>
    <t>SIMULINK
MATLAB</t>
  </si>
  <si>
    <t>Estamos usando BIM y LOI MOP para el diseño civil.</t>
  </si>
  <si>
    <t>We are using BIM and LOI MOP for civil design.</t>
  </si>
  <si>
    <t>BIM
LOI MOP
Infrastructure</t>
  </si>
  <si>
    <t>Il software segue lo standard EN50128 e il modello a V.</t>
  </si>
  <si>
    <t>The software follows the EN50128 standard and V-model.</t>
  </si>
  <si>
    <t>V-model
EN50128</t>
  </si>
  <si>
    <t>EN50128
Cycle en V</t>
  </si>
  <si>
    <t>We’re testing the safety of railway communication systems.</t>
  </si>
  <si>
    <t>Rolling Stock
Signalling
Train Safety Systems
Railway
Radio / Wireless
Low Voltage</t>
  </si>
  <si>
    <t>Railway
Safety
Communication</t>
  </si>
  <si>
    <t>Le système SCADA contrôle la distribution électrique.</t>
  </si>
  <si>
    <t>The SCADA system controls the electrical distribution.</t>
  </si>
  <si>
    <t>SCADA
Energy
Electrical Systems</t>
  </si>
  <si>
    <t>analizando proteccion electrica y media tension</t>
  </si>
  <si>
    <t>analyzing electrical protection and medium voltage</t>
  </si>
  <si>
    <t>Electrical Protection
Medium Voltage (MV)
Transmission And Distribution</t>
  </si>
  <si>
    <t>Electrical Protection
Medium Voltage (MV)
Energy</t>
  </si>
  <si>
    <t>System design: ERTMS, CBTC, or maybe both?</t>
  </si>
  <si>
    <t>ERTMS
Signalling
CBTC</t>
  </si>
  <si>
    <t>ERTMS
CBTC
Signalling</t>
  </si>
  <si>
    <t>le dev suit la norme cenelec et la méthode b</t>
  </si>
  <si>
    <t>the dev follows the cenelec standard and the b method</t>
  </si>
  <si>
    <t>Méthode B
Cenelec</t>
  </si>
  <si>
    <t>Cenelec
Méthode B</t>
  </si>
  <si>
    <t>stiamo lavorando su catene di trazione elettriche e catenarie.</t>
  </si>
  <si>
    <t>we are working on electric traction chains and catenaries.</t>
  </si>
  <si>
    <t>Traction Systems
Catenary
Railway</t>
  </si>
  <si>
    <t>not sure something with trains and energy i dont know</t>
  </si>
  <si>
    <t>Energy
Electrical Systems
Fluid Mechanics
Rolling Stock</t>
  </si>
  <si>
    <t>Railway
Energy</t>
  </si>
  <si>
    <t>Arrangement
Geotechnology
Infrastructure
Level Crossings
Fixed Installations / Civil Engineering
Hydraulics</t>
  </si>
  <si>
    <t>MATLAB
SCADE
Labview</t>
  </si>
  <si>
    <t>Smart Grid
Electrical Protection
Transmission And Distribution
Low Voltage (LV) &amp; High Voltage (HV) Distribution</t>
  </si>
  <si>
    <t>Railway
Train Safety Systems
Signalling
Rolling Stock
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</si>
</sst>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4" fontId="2" fillId="0" borderId="2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horizontal="right" wrapText="1"/>
    </xf>
    <xf numFmtId="0" fontId="0" fillId="0" borderId="2" xfId="0" applyBorder="1" applyAlignment="1">
      <alignment wrapText="1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>
      <alignment horizontal="right" wrapText="1"/>
    </xf>
    <xf numFmtId="3" fontId="2" fillId="0" borderId="3" xfId="0" applyNumberFormat="1" applyFont="1" applyBorder="1" applyAlignment="1">
      <alignment horizontal="right" wrapText="1"/>
    </xf>
    <xf numFmtId="4" fontId="2" fillId="0" borderId="0" xfId="0" applyNumberFormat="1" applyFont="1" applyBorder="1" applyAlignment="1">
      <alignment horizontal="right" wrapText="1"/>
    </xf>
    <xf numFmtId="0" fontId="2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7"/>
  <sheetViews>
    <sheetView tabSelected="1" topLeftCell="B1" workbookViewId="0">
      <selection activeCell="E4" sqref="E4"/>
    </sheetView>
  </sheetViews>
  <sheetFormatPr baseColWidth="10" defaultColWidth="65.33203125" defaultRowHeight="14.4" x14ac:dyDescent="0.3"/>
  <cols>
    <col min="1" max="1" width="64.88671875" style="1" bestFit="1" customWidth="1"/>
    <col min="2" max="2" width="64.21875" style="1" bestFit="1" customWidth="1"/>
    <col min="3" max="3" width="22.44140625" style="8" bestFit="1" customWidth="1"/>
    <col min="4" max="4" width="65.21875" style="1" bestFit="1" customWidth="1"/>
    <col min="5" max="5" width="33.33203125" style="1" bestFit="1" customWidth="1"/>
    <col min="6" max="6" width="13.33203125" style="9" bestFit="1" customWidth="1"/>
    <col min="7" max="7" width="10.5546875" style="9" bestFit="1" customWidth="1"/>
    <col min="8" max="8" width="7.33203125" style="9" bestFit="1" customWidth="1"/>
  </cols>
  <sheetData>
    <row r="1" spans="1:8" s="1" customFormat="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</row>
    <row r="2" spans="1:8" s="1" customFormat="1" ht="43.2" x14ac:dyDescent="0.3">
      <c r="A2" s="5" t="s">
        <v>112</v>
      </c>
      <c r="B2" s="5" t="s">
        <v>112</v>
      </c>
      <c r="C2" s="1">
        <v>68.14</v>
      </c>
      <c r="D2" s="1" t="s">
        <v>161</v>
      </c>
      <c r="E2" s="1" t="s">
        <v>113</v>
      </c>
      <c r="F2" s="1">
        <v>0</v>
      </c>
      <c r="G2" s="1">
        <v>0</v>
      </c>
      <c r="H2" s="1">
        <v>0</v>
      </c>
    </row>
    <row r="3" spans="1:8" s="1" customFormat="1" ht="57.6" x14ac:dyDescent="0.3">
      <c r="A3" s="5" t="s">
        <v>140</v>
      </c>
      <c r="B3" s="5" t="s">
        <v>141</v>
      </c>
      <c r="C3" s="1">
        <v>60.42</v>
      </c>
      <c r="D3" s="1" t="s">
        <v>162</v>
      </c>
      <c r="E3" s="1" t="s">
        <v>142</v>
      </c>
      <c r="F3" s="1">
        <v>0</v>
      </c>
      <c r="G3" s="1">
        <v>0</v>
      </c>
      <c r="H3" s="1">
        <v>0</v>
      </c>
    </row>
    <row r="4" spans="1:8" s="1" customFormat="1" ht="86.4" x14ac:dyDescent="0.3">
      <c r="A4" s="5" t="s">
        <v>137</v>
      </c>
      <c r="B4" s="5" t="s">
        <v>137</v>
      </c>
      <c r="C4" s="14">
        <v>63.24</v>
      </c>
      <c r="D4" s="15" t="s">
        <v>138</v>
      </c>
      <c r="E4" s="15" t="s">
        <v>139</v>
      </c>
      <c r="F4" s="14">
        <v>0.17</v>
      </c>
      <c r="G4" s="14">
        <v>0.33</v>
      </c>
      <c r="H4" s="14">
        <v>0.22</v>
      </c>
    </row>
    <row r="5" spans="1:8" s="1" customFormat="1" ht="72" x14ac:dyDescent="0.3">
      <c r="A5" s="5" t="s">
        <v>114</v>
      </c>
      <c r="B5" s="5" t="s">
        <v>115</v>
      </c>
      <c r="C5" s="10">
        <v>77.48</v>
      </c>
      <c r="D5" s="10" t="s">
        <v>163</v>
      </c>
      <c r="E5" s="10" t="s">
        <v>116</v>
      </c>
      <c r="F5" s="10">
        <v>0.2</v>
      </c>
      <c r="G5" s="10">
        <v>0.33</v>
      </c>
      <c r="H5" s="10">
        <v>0.25</v>
      </c>
    </row>
    <row r="6" spans="1:8" s="1" customFormat="1" ht="57.6" x14ac:dyDescent="0.3">
      <c r="A6" s="5" t="s">
        <v>157</v>
      </c>
      <c r="B6" s="5" t="s">
        <v>157</v>
      </c>
      <c r="C6" s="14">
        <v>73.36</v>
      </c>
      <c r="D6" s="15" t="s">
        <v>158</v>
      </c>
      <c r="E6" s="15" t="s">
        <v>159</v>
      </c>
      <c r="F6" s="14">
        <v>0.25</v>
      </c>
      <c r="G6" s="14">
        <v>0.5</v>
      </c>
      <c r="H6" s="14">
        <v>0.33</v>
      </c>
    </row>
    <row r="7" spans="1:8" s="1" customFormat="1" ht="100.8" x14ac:dyDescent="0.3">
      <c r="A7" s="5" t="s">
        <v>15</v>
      </c>
      <c r="B7" s="5" t="s">
        <v>16</v>
      </c>
      <c r="C7" s="6">
        <v>69.52</v>
      </c>
      <c r="D7" s="5" t="s">
        <v>17</v>
      </c>
      <c r="E7" s="5" t="s">
        <v>18</v>
      </c>
      <c r="F7" s="6">
        <v>0.28999999999999998</v>
      </c>
      <c r="G7" s="7">
        <v>1</v>
      </c>
      <c r="H7" s="6">
        <v>0.44</v>
      </c>
    </row>
    <row r="8" spans="1:8" s="1" customFormat="1" ht="86.4" x14ac:dyDescent="0.3">
      <c r="A8" s="5" t="s">
        <v>121</v>
      </c>
      <c r="B8" s="5" t="s">
        <v>122</v>
      </c>
      <c r="C8" s="6">
        <v>78.89</v>
      </c>
      <c r="D8" s="5" t="s">
        <v>9</v>
      </c>
      <c r="E8" s="5" t="s">
        <v>123</v>
      </c>
      <c r="F8" s="6">
        <v>0.33</v>
      </c>
      <c r="G8" s="6">
        <v>0.67</v>
      </c>
      <c r="H8" s="6">
        <v>0.44</v>
      </c>
    </row>
    <row r="9" spans="1:8" s="1" customFormat="1" ht="86.4" x14ac:dyDescent="0.3">
      <c r="A9" s="5" t="s">
        <v>71</v>
      </c>
      <c r="B9" s="5" t="s">
        <v>71</v>
      </c>
      <c r="C9" s="10">
        <v>102.41</v>
      </c>
      <c r="D9" s="10" t="s">
        <v>160</v>
      </c>
      <c r="E9" s="10" t="s">
        <v>72</v>
      </c>
      <c r="F9" s="10">
        <v>0.33</v>
      </c>
      <c r="G9" s="10">
        <v>1</v>
      </c>
      <c r="H9" s="10">
        <v>0.5</v>
      </c>
    </row>
    <row r="10" spans="1:8" s="1" customFormat="1" ht="86.4" x14ac:dyDescent="0.3">
      <c r="A10" s="5" t="s">
        <v>8</v>
      </c>
      <c r="B10" s="5" t="s">
        <v>8</v>
      </c>
      <c r="C10" s="6">
        <v>97.39</v>
      </c>
      <c r="D10" s="5" t="s">
        <v>9</v>
      </c>
      <c r="E10" s="5" t="s">
        <v>10</v>
      </c>
      <c r="F10" s="6">
        <v>0.33</v>
      </c>
      <c r="G10" s="7">
        <v>1</v>
      </c>
      <c r="H10" s="6">
        <v>0.5</v>
      </c>
    </row>
    <row r="11" spans="1:8" s="1" customFormat="1" ht="72" x14ac:dyDescent="0.3">
      <c r="A11" s="5" t="s">
        <v>19</v>
      </c>
      <c r="B11" s="5" t="s">
        <v>19</v>
      </c>
      <c r="C11" s="6">
        <v>70.23</v>
      </c>
      <c r="D11" s="5" t="s">
        <v>20</v>
      </c>
      <c r="E11" s="5" t="s">
        <v>21</v>
      </c>
      <c r="F11" s="6">
        <v>0.4</v>
      </c>
      <c r="G11" s="6">
        <v>0.67</v>
      </c>
      <c r="H11" s="6">
        <v>0.5</v>
      </c>
    </row>
    <row r="12" spans="1:8" s="1" customFormat="1" ht="72" x14ac:dyDescent="0.3">
      <c r="A12" s="5" t="s">
        <v>43</v>
      </c>
      <c r="B12" s="5" t="s">
        <v>44</v>
      </c>
      <c r="C12" s="6">
        <v>67.03</v>
      </c>
      <c r="D12" s="5" t="s">
        <v>45</v>
      </c>
      <c r="E12" s="5" t="s">
        <v>46</v>
      </c>
      <c r="F12" s="6">
        <v>0.4</v>
      </c>
      <c r="G12" s="6">
        <v>0.67</v>
      </c>
      <c r="H12" s="6">
        <v>0.5</v>
      </c>
    </row>
    <row r="13" spans="1:8" s="1" customFormat="1" ht="72" x14ac:dyDescent="0.3">
      <c r="A13" s="5" t="s">
        <v>117</v>
      </c>
      <c r="B13" s="5" t="s">
        <v>118</v>
      </c>
      <c r="C13" s="6">
        <v>69.02</v>
      </c>
      <c r="D13" s="5" t="s">
        <v>119</v>
      </c>
      <c r="E13" s="5" t="s">
        <v>120</v>
      </c>
      <c r="F13" s="6">
        <v>0.4</v>
      </c>
      <c r="G13" s="6">
        <v>0.67</v>
      </c>
      <c r="H13" s="6">
        <v>0.5</v>
      </c>
    </row>
    <row r="14" spans="1:8" s="1" customFormat="1" ht="72" x14ac:dyDescent="0.3">
      <c r="A14" s="5" t="s">
        <v>124</v>
      </c>
      <c r="B14" s="5" t="s">
        <v>124</v>
      </c>
      <c r="C14" s="6">
        <v>66.62</v>
      </c>
      <c r="D14" s="5" t="s">
        <v>125</v>
      </c>
      <c r="E14" s="5" t="s">
        <v>126</v>
      </c>
      <c r="F14" s="6">
        <v>0.4</v>
      </c>
      <c r="G14" s="6">
        <v>0.67</v>
      </c>
      <c r="H14" s="6">
        <v>0.5</v>
      </c>
    </row>
    <row r="15" spans="1:8" s="1" customFormat="1" ht="28.8" x14ac:dyDescent="0.3">
      <c r="A15" s="5" t="s">
        <v>133</v>
      </c>
      <c r="B15" s="5" t="s">
        <v>134</v>
      </c>
      <c r="C15" s="6">
        <v>49.75</v>
      </c>
      <c r="D15" s="5" t="s">
        <v>135</v>
      </c>
      <c r="E15" s="5" t="s">
        <v>136</v>
      </c>
      <c r="F15" s="6">
        <v>0.5</v>
      </c>
      <c r="G15" s="6">
        <v>0.5</v>
      </c>
      <c r="H15" s="6">
        <v>0.5</v>
      </c>
    </row>
    <row r="16" spans="1:8" s="1" customFormat="1" ht="72" x14ac:dyDescent="0.3">
      <c r="A16" s="5" t="s">
        <v>154</v>
      </c>
      <c r="B16" s="5" t="s">
        <v>155</v>
      </c>
      <c r="C16" s="6">
        <v>63.6</v>
      </c>
      <c r="D16" s="5" t="s">
        <v>45</v>
      </c>
      <c r="E16" s="5" t="s">
        <v>156</v>
      </c>
      <c r="F16" s="6">
        <v>0.4</v>
      </c>
      <c r="G16" s="6">
        <v>0.67</v>
      </c>
      <c r="H16" s="6">
        <v>0.5</v>
      </c>
    </row>
    <row r="17" spans="1:8" s="1" customFormat="1" ht="57.6" x14ac:dyDescent="0.3">
      <c r="A17" s="5" t="s">
        <v>26</v>
      </c>
      <c r="B17" s="5" t="s">
        <v>27</v>
      </c>
      <c r="C17" s="6">
        <v>50.58</v>
      </c>
      <c r="D17" s="5" t="s">
        <v>28</v>
      </c>
      <c r="E17" s="5" t="s">
        <v>29</v>
      </c>
      <c r="F17" s="6">
        <v>0.5</v>
      </c>
      <c r="G17" s="6">
        <v>0.67</v>
      </c>
      <c r="H17" s="6">
        <v>0.56999999999999995</v>
      </c>
    </row>
    <row r="18" spans="1:8" s="1" customFormat="1" ht="57.6" x14ac:dyDescent="0.3">
      <c r="A18" s="5" t="s">
        <v>47</v>
      </c>
      <c r="B18" s="5" t="s">
        <v>48</v>
      </c>
      <c r="C18" s="6">
        <v>62.61</v>
      </c>
      <c r="D18" s="5" t="s">
        <v>49</v>
      </c>
      <c r="E18" s="5" t="s">
        <v>50</v>
      </c>
      <c r="F18" s="6">
        <v>0.5</v>
      </c>
      <c r="G18" s="6">
        <v>0.67</v>
      </c>
      <c r="H18" s="6">
        <v>0.56999999999999995</v>
      </c>
    </row>
    <row r="19" spans="1:8" s="1" customFormat="1" ht="57.6" x14ac:dyDescent="0.3">
      <c r="A19" s="5" t="s">
        <v>88</v>
      </c>
      <c r="B19" s="5" t="s">
        <v>89</v>
      </c>
      <c r="C19" s="6">
        <v>67.53</v>
      </c>
      <c r="D19" s="5" t="s">
        <v>90</v>
      </c>
      <c r="E19" s="5" t="s">
        <v>91</v>
      </c>
      <c r="F19" s="6">
        <v>0.5</v>
      </c>
      <c r="G19" s="6">
        <v>0.67</v>
      </c>
      <c r="H19" s="6">
        <v>0.56999999999999995</v>
      </c>
    </row>
    <row r="20" spans="1:8" s="1" customFormat="1" ht="57.6" x14ac:dyDescent="0.3">
      <c r="A20" s="5" t="s">
        <v>92</v>
      </c>
      <c r="B20" s="5" t="s">
        <v>92</v>
      </c>
      <c r="C20" s="6">
        <v>56.08</v>
      </c>
      <c r="D20" s="11" t="s">
        <v>93</v>
      </c>
      <c r="E20" s="5" t="s">
        <v>94</v>
      </c>
      <c r="F20" s="6">
        <v>0.5</v>
      </c>
      <c r="G20" s="6">
        <v>0.67</v>
      </c>
      <c r="H20" s="6">
        <v>0.56999999999999995</v>
      </c>
    </row>
    <row r="21" spans="1:8" s="1" customFormat="1" ht="57.6" x14ac:dyDescent="0.3">
      <c r="A21" s="5" t="s">
        <v>11</v>
      </c>
      <c r="B21" s="5" t="s">
        <v>12</v>
      </c>
      <c r="C21" s="6">
        <v>58.82</v>
      </c>
      <c r="D21" s="5" t="s">
        <v>13</v>
      </c>
      <c r="E21" s="5" t="s">
        <v>14</v>
      </c>
      <c r="F21" s="6">
        <v>0.5</v>
      </c>
      <c r="G21" s="7">
        <v>1</v>
      </c>
      <c r="H21" s="6">
        <v>0.67</v>
      </c>
    </row>
    <row r="22" spans="1:8" s="1" customFormat="1" ht="57.6" x14ac:dyDescent="0.3">
      <c r="A22" s="5" t="s">
        <v>30</v>
      </c>
      <c r="B22" s="5" t="s">
        <v>30</v>
      </c>
      <c r="C22" s="6">
        <v>62.16</v>
      </c>
      <c r="D22" s="5" t="s">
        <v>31</v>
      </c>
      <c r="E22" s="5" t="s">
        <v>32</v>
      </c>
      <c r="F22" s="6">
        <v>0.5</v>
      </c>
      <c r="G22" s="7">
        <v>1</v>
      </c>
      <c r="H22" s="6">
        <v>0.67</v>
      </c>
    </row>
    <row r="23" spans="1:8" s="1" customFormat="1" ht="72" x14ac:dyDescent="0.3">
      <c r="A23" s="5" t="s">
        <v>40</v>
      </c>
      <c r="B23" s="5" t="s">
        <v>40</v>
      </c>
      <c r="C23" s="6">
        <v>65.64</v>
      </c>
      <c r="D23" s="5" t="s">
        <v>41</v>
      </c>
      <c r="E23" s="5" t="s">
        <v>42</v>
      </c>
      <c r="F23" s="6">
        <v>0.5</v>
      </c>
      <c r="G23" s="7">
        <v>1</v>
      </c>
      <c r="H23" s="6">
        <v>0.67</v>
      </c>
    </row>
    <row r="24" spans="1:8" s="1" customFormat="1" ht="28.8" x14ac:dyDescent="0.3">
      <c r="A24" s="5" t="s">
        <v>51</v>
      </c>
      <c r="B24" s="5" t="s">
        <v>51</v>
      </c>
      <c r="C24" s="6">
        <v>39.24</v>
      </c>
      <c r="D24" s="5" t="s">
        <v>52</v>
      </c>
      <c r="E24" s="5" t="s">
        <v>53</v>
      </c>
      <c r="F24" s="7">
        <v>1</v>
      </c>
      <c r="G24" s="6">
        <v>0.5</v>
      </c>
      <c r="H24" s="6">
        <v>0.67</v>
      </c>
    </row>
    <row r="25" spans="1:8" s="1" customFormat="1" ht="28.8" x14ac:dyDescent="0.3">
      <c r="A25" s="5" t="s">
        <v>54</v>
      </c>
      <c r="B25" s="5" t="s">
        <v>55</v>
      </c>
      <c r="C25" s="6">
        <v>45.62</v>
      </c>
      <c r="D25" s="5" t="s">
        <v>56</v>
      </c>
      <c r="E25" s="5" t="s">
        <v>57</v>
      </c>
      <c r="F25" s="7">
        <v>1</v>
      </c>
      <c r="G25" s="6">
        <v>0.5</v>
      </c>
      <c r="H25" s="6">
        <v>0.67</v>
      </c>
    </row>
    <row r="26" spans="1:8" s="1" customFormat="1" ht="57.6" x14ac:dyDescent="0.3">
      <c r="A26" s="5" t="s">
        <v>77</v>
      </c>
      <c r="B26" s="5" t="s">
        <v>78</v>
      </c>
      <c r="C26" s="6">
        <v>61.61</v>
      </c>
      <c r="D26" s="5" t="s">
        <v>79</v>
      </c>
      <c r="E26" s="5" t="s">
        <v>80</v>
      </c>
      <c r="F26" s="6">
        <v>0.5</v>
      </c>
      <c r="G26" s="7">
        <v>1</v>
      </c>
      <c r="H26" s="6">
        <v>0.67</v>
      </c>
    </row>
    <row r="27" spans="1:8" s="1" customFormat="1" ht="57.6" x14ac:dyDescent="0.3">
      <c r="A27" s="5" t="s">
        <v>95</v>
      </c>
      <c r="B27" s="5" t="s">
        <v>96</v>
      </c>
      <c r="C27" s="6">
        <v>56.58</v>
      </c>
      <c r="D27" s="5" t="s">
        <v>97</v>
      </c>
      <c r="E27" s="5" t="s">
        <v>98</v>
      </c>
      <c r="F27" s="6">
        <v>0.5</v>
      </c>
      <c r="G27" s="7">
        <v>1</v>
      </c>
      <c r="H27" s="6">
        <v>0.67</v>
      </c>
    </row>
    <row r="28" spans="1:8" s="1" customFormat="1" ht="43.2" x14ac:dyDescent="0.3">
      <c r="A28" s="5" t="s">
        <v>143</v>
      </c>
      <c r="B28" s="5" t="s">
        <v>144</v>
      </c>
      <c r="C28" s="6">
        <v>48.73</v>
      </c>
      <c r="D28" s="5" t="s">
        <v>145</v>
      </c>
      <c r="E28" s="5" t="s">
        <v>146</v>
      </c>
      <c r="F28" s="6">
        <v>0.67</v>
      </c>
      <c r="G28" s="6">
        <v>0.67</v>
      </c>
      <c r="H28" s="6">
        <v>0.67</v>
      </c>
    </row>
    <row r="29" spans="1:8" s="1" customFormat="1" ht="57.6" x14ac:dyDescent="0.3">
      <c r="A29" s="5" t="s">
        <v>84</v>
      </c>
      <c r="B29" s="5" t="s">
        <v>85</v>
      </c>
      <c r="C29" s="6">
        <v>72.010000000000005</v>
      </c>
      <c r="D29" s="5" t="s">
        <v>86</v>
      </c>
      <c r="E29" s="5" t="s">
        <v>87</v>
      </c>
      <c r="F29" s="6">
        <v>0.75</v>
      </c>
      <c r="G29" s="6">
        <v>0.75</v>
      </c>
      <c r="H29" s="6">
        <v>0.75</v>
      </c>
    </row>
    <row r="30" spans="1:8" s="1" customFormat="1" ht="43.2" x14ac:dyDescent="0.3">
      <c r="A30" s="5" t="s">
        <v>130</v>
      </c>
      <c r="B30" s="5" t="s">
        <v>131</v>
      </c>
      <c r="C30" s="6">
        <v>60.74</v>
      </c>
      <c r="D30" s="5" t="s">
        <v>102</v>
      </c>
      <c r="E30" s="5" t="s">
        <v>132</v>
      </c>
      <c r="F30" s="7">
        <v>1</v>
      </c>
      <c r="G30" s="6">
        <v>0.67</v>
      </c>
      <c r="H30" s="6">
        <v>0.8</v>
      </c>
    </row>
    <row r="31" spans="1:8" s="1" customFormat="1" ht="57.6" x14ac:dyDescent="0.3">
      <c r="A31" s="5" t="s">
        <v>73</v>
      </c>
      <c r="B31" s="5" t="s">
        <v>74</v>
      </c>
      <c r="C31" s="6">
        <v>64.680000000000007</v>
      </c>
      <c r="D31" s="5" t="s">
        <v>75</v>
      </c>
      <c r="E31" s="5" t="s">
        <v>76</v>
      </c>
      <c r="F31" s="6">
        <v>0.75</v>
      </c>
      <c r="G31" s="7">
        <v>1</v>
      </c>
      <c r="H31" s="6">
        <v>0.86</v>
      </c>
    </row>
    <row r="32" spans="1:8" s="1" customFormat="1" ht="72" x14ac:dyDescent="0.3">
      <c r="A32" s="5" t="s">
        <v>81</v>
      </c>
      <c r="B32" s="5" t="s">
        <v>81</v>
      </c>
      <c r="C32" s="6">
        <v>71.430000000000007</v>
      </c>
      <c r="D32" s="5" t="s">
        <v>82</v>
      </c>
      <c r="E32" s="5" t="s">
        <v>83</v>
      </c>
      <c r="F32" s="6">
        <v>0.8</v>
      </c>
      <c r="G32" s="7">
        <v>1</v>
      </c>
      <c r="H32" s="6">
        <v>0.89</v>
      </c>
    </row>
    <row r="33" spans="1:8" s="1" customFormat="1" ht="57.6" x14ac:dyDescent="0.3">
      <c r="A33" s="5" t="s">
        <v>22</v>
      </c>
      <c r="B33" s="5" t="s">
        <v>23</v>
      </c>
      <c r="C33" s="6">
        <v>51.29</v>
      </c>
      <c r="D33" s="5" t="s">
        <v>24</v>
      </c>
      <c r="E33" s="5" t="s">
        <v>25</v>
      </c>
      <c r="F33" s="7">
        <v>1</v>
      </c>
      <c r="G33" s="7">
        <v>1</v>
      </c>
      <c r="H33" s="7">
        <v>1</v>
      </c>
    </row>
    <row r="34" spans="1:8" s="1" customFormat="1" ht="28.8" x14ac:dyDescent="0.3">
      <c r="A34" s="5" t="s">
        <v>33</v>
      </c>
      <c r="B34" s="5" t="s">
        <v>34</v>
      </c>
      <c r="C34" s="6">
        <v>45.72</v>
      </c>
      <c r="D34" s="5" t="s">
        <v>35</v>
      </c>
      <c r="E34" s="5" t="s">
        <v>36</v>
      </c>
      <c r="F34" s="7">
        <v>1</v>
      </c>
      <c r="G34" s="7">
        <v>1</v>
      </c>
      <c r="H34" s="7">
        <v>1</v>
      </c>
    </row>
    <row r="35" spans="1:8" s="1" customFormat="1" ht="28.8" x14ac:dyDescent="0.3">
      <c r="A35" s="5" t="s">
        <v>37</v>
      </c>
      <c r="B35" s="5" t="s">
        <v>38</v>
      </c>
      <c r="C35" s="6">
        <v>50.85</v>
      </c>
      <c r="D35" s="5" t="s">
        <v>39</v>
      </c>
      <c r="E35" s="5" t="s">
        <v>39</v>
      </c>
      <c r="F35" s="7">
        <v>1</v>
      </c>
      <c r="G35" s="7">
        <v>1</v>
      </c>
      <c r="H35" s="7">
        <v>1</v>
      </c>
    </row>
    <row r="36" spans="1:8" s="1" customFormat="1" ht="28.8" x14ac:dyDescent="0.3">
      <c r="A36" s="5" t="s">
        <v>58</v>
      </c>
      <c r="B36" s="5" t="s">
        <v>59</v>
      </c>
      <c r="C36" s="6">
        <v>46.64</v>
      </c>
      <c r="D36" s="5" t="s">
        <v>60</v>
      </c>
      <c r="E36" s="5" t="s">
        <v>61</v>
      </c>
      <c r="F36" s="7">
        <v>1</v>
      </c>
      <c r="G36" s="7">
        <v>1</v>
      </c>
      <c r="H36" s="7">
        <v>1</v>
      </c>
    </row>
    <row r="37" spans="1:8" s="1" customFormat="1" ht="28.8" x14ac:dyDescent="0.3">
      <c r="A37" s="5" t="s">
        <v>62</v>
      </c>
      <c r="B37" s="5" t="s">
        <v>62</v>
      </c>
      <c r="C37" s="6">
        <v>55.97</v>
      </c>
      <c r="D37" s="5" t="s">
        <v>63</v>
      </c>
      <c r="E37" s="5" t="s">
        <v>64</v>
      </c>
      <c r="F37" s="7">
        <v>1</v>
      </c>
      <c r="G37" s="7">
        <v>1</v>
      </c>
      <c r="H37" s="7">
        <v>1</v>
      </c>
    </row>
    <row r="38" spans="1:8" s="1" customFormat="1" ht="28.8" x14ac:dyDescent="0.3">
      <c r="A38" s="5" t="s">
        <v>65</v>
      </c>
      <c r="B38" s="5" t="s">
        <v>66</v>
      </c>
      <c r="C38" s="6">
        <v>53.87</v>
      </c>
      <c r="D38" s="5" t="s">
        <v>67</v>
      </c>
      <c r="E38" s="5" t="s">
        <v>67</v>
      </c>
      <c r="F38" s="7">
        <v>1</v>
      </c>
      <c r="G38" s="7">
        <v>1</v>
      </c>
      <c r="H38" s="7">
        <v>1</v>
      </c>
    </row>
    <row r="39" spans="1:8" s="1" customFormat="1" ht="28.8" x14ac:dyDescent="0.3">
      <c r="A39" s="5" t="s">
        <v>68</v>
      </c>
      <c r="B39" s="5" t="s">
        <v>69</v>
      </c>
      <c r="C39" s="6">
        <v>49.85</v>
      </c>
      <c r="D39" s="5" t="s">
        <v>70</v>
      </c>
      <c r="E39" s="5" t="s">
        <v>70</v>
      </c>
      <c r="F39" s="7">
        <v>1</v>
      </c>
      <c r="G39" s="7">
        <v>1</v>
      </c>
      <c r="H39" s="7">
        <v>1</v>
      </c>
    </row>
    <row r="40" spans="1:8" s="1" customFormat="1" ht="28.8" x14ac:dyDescent="0.3">
      <c r="A40" s="5" t="s">
        <v>99</v>
      </c>
      <c r="B40" s="5" t="s">
        <v>99</v>
      </c>
      <c r="C40" s="6">
        <v>56.22</v>
      </c>
      <c r="D40" s="5" t="s">
        <v>100</v>
      </c>
      <c r="E40" s="5" t="s">
        <v>100</v>
      </c>
      <c r="F40" s="7">
        <v>1</v>
      </c>
      <c r="G40" s="7">
        <v>1</v>
      </c>
      <c r="H40" s="7">
        <v>1</v>
      </c>
    </row>
    <row r="41" spans="1:8" s="1" customFormat="1" ht="28.8" x14ac:dyDescent="0.3">
      <c r="A41" s="5" t="s">
        <v>101</v>
      </c>
      <c r="B41" s="5" t="s">
        <v>101</v>
      </c>
      <c r="C41" s="6">
        <v>63.81</v>
      </c>
      <c r="D41" s="5" t="s">
        <v>102</v>
      </c>
      <c r="E41" s="5" t="s">
        <v>103</v>
      </c>
      <c r="F41" s="7">
        <v>1</v>
      </c>
      <c r="G41" s="7">
        <v>1</v>
      </c>
      <c r="H41" s="7">
        <v>1</v>
      </c>
    </row>
    <row r="42" spans="1:8" s="1" customFormat="1" ht="28.8" x14ac:dyDescent="0.3">
      <c r="A42" s="5" t="s">
        <v>104</v>
      </c>
      <c r="B42" s="5" t="s">
        <v>105</v>
      </c>
      <c r="C42" s="6">
        <v>55.6</v>
      </c>
      <c r="D42" s="5" t="s">
        <v>106</v>
      </c>
      <c r="E42" s="5" t="s">
        <v>107</v>
      </c>
      <c r="F42" s="7">
        <v>1</v>
      </c>
      <c r="G42" s="7">
        <v>1</v>
      </c>
      <c r="H42" s="7">
        <v>1</v>
      </c>
    </row>
    <row r="43" spans="1:8" s="1" customFormat="1" ht="28.8" x14ac:dyDescent="0.3">
      <c r="A43" s="5" t="s">
        <v>108</v>
      </c>
      <c r="B43" s="5" t="s">
        <v>109</v>
      </c>
      <c r="C43" s="6">
        <v>52.41</v>
      </c>
      <c r="D43" s="5" t="s">
        <v>110</v>
      </c>
      <c r="E43" s="5" t="s">
        <v>111</v>
      </c>
      <c r="F43" s="7">
        <v>1</v>
      </c>
      <c r="G43" s="7">
        <v>1</v>
      </c>
      <c r="H43" s="7">
        <v>1</v>
      </c>
    </row>
    <row r="44" spans="1:8" s="1" customFormat="1" ht="28.8" x14ac:dyDescent="0.3">
      <c r="A44" s="5" t="s">
        <v>127</v>
      </c>
      <c r="B44" s="5" t="s">
        <v>128</v>
      </c>
      <c r="C44" s="6">
        <v>46.87</v>
      </c>
      <c r="D44" s="5" t="s">
        <v>32</v>
      </c>
      <c r="E44" s="5" t="s">
        <v>129</v>
      </c>
      <c r="F44" s="7">
        <v>1</v>
      </c>
      <c r="G44" s="7">
        <v>1</v>
      </c>
      <c r="H44" s="7">
        <v>1</v>
      </c>
    </row>
    <row r="45" spans="1:8" s="1" customFormat="1" ht="43.2" x14ac:dyDescent="0.3">
      <c r="A45" s="5" t="s">
        <v>147</v>
      </c>
      <c r="B45" s="5" t="s">
        <v>147</v>
      </c>
      <c r="C45" s="6">
        <v>67.239999999999995</v>
      </c>
      <c r="D45" s="5" t="s">
        <v>148</v>
      </c>
      <c r="E45" s="5" t="s">
        <v>149</v>
      </c>
      <c r="F45" s="7">
        <v>1</v>
      </c>
      <c r="G45" s="7">
        <v>1</v>
      </c>
      <c r="H45" s="7">
        <v>1</v>
      </c>
    </row>
    <row r="46" spans="1:8" s="1" customFormat="1" ht="28.8" x14ac:dyDescent="0.3">
      <c r="A46" s="11" t="s">
        <v>150</v>
      </c>
      <c r="B46" s="11" t="s">
        <v>151</v>
      </c>
      <c r="C46" s="12">
        <v>52.71</v>
      </c>
      <c r="D46" s="11" t="s">
        <v>152</v>
      </c>
      <c r="E46" s="11" t="s">
        <v>153</v>
      </c>
      <c r="F46" s="13">
        <v>1</v>
      </c>
      <c r="G46" s="13">
        <v>1</v>
      </c>
      <c r="H46" s="13">
        <v>1</v>
      </c>
    </row>
    <row r="47" spans="1:8" x14ac:dyDescent="0.3">
      <c r="F47" s="9">
        <f>AVERAGE(F2:F46)</f>
        <v>0.64155555555555555</v>
      </c>
      <c r="G47" s="9">
        <f t="shared" ref="G47:H47" si="0">AVERAGE(G2:G46)</f>
        <v>0.7877777777777778</v>
      </c>
      <c r="H47" s="9">
        <f t="shared" si="0"/>
        <v>0.68044444444444452</v>
      </c>
    </row>
  </sheetData>
  <autoFilter ref="A1:H46" xr:uid="{00000000-0001-0000-0000-000000000000}">
    <sortState xmlns:xlrd2="http://schemas.microsoft.com/office/spreadsheetml/2017/richdata2" ref="A2:H46">
      <sortCondition ref="H1:H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Mustapha EL KAMILI</cp:lastModifiedBy>
  <dcterms:created xsi:type="dcterms:W3CDTF">2025-11-03T12:57:55Z</dcterms:created>
  <dcterms:modified xsi:type="dcterms:W3CDTF">2025-11-03T13:18:02Z</dcterms:modified>
</cp:coreProperties>
</file>